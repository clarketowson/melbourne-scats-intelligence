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e Towson\OneDrive\Desktop\"/>
    </mc:Choice>
  </mc:AlternateContent>
  <xr:revisionPtr revIDLastSave="0" documentId="13_ncr:1_{D7AE4F59-4D12-47E2-A4F2-CD1A518EEC68}" xr6:coauthVersionLast="47" xr6:coauthVersionMax="47" xr10:uidLastSave="{00000000-0000-0000-0000-000000000000}"/>
  <bookViews>
    <workbookView xWindow="-27885" yWindow="1080" windowWidth="26325" windowHeight="13155" xr2:uid="{E8481802-95C6-4697-ADC7-C8AFC0E4AD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<sst xmlns="http://schemas.openxmlformats.org/spreadsheetml/2006/main" count="138" uniqueCount="103">
  <si>
    <t>Progress %</t>
  </si>
  <si>
    <t>Script Directory</t>
  </si>
  <si>
    <t>A:\TrafficAnalytics\PROJECTS\scripts\finalscriptsafterdedup</t>
  </si>
  <si>
    <t>CSV Results Directory</t>
  </si>
  <si>
    <t>A:\TrafficAnalytics\PROJECTS\reports\deduped</t>
  </si>
  <si>
    <t>Completed Scripts</t>
  </si>
  <si>
    <t>STATUS</t>
  </si>
  <si>
    <t>COMPLETE</t>
  </si>
  <si>
    <t>Output File</t>
  </si>
  <si>
    <t>chunked_busiest_site_monthly.csv</t>
  </si>
  <si>
    <t>SUCCESS</t>
  </si>
  <si>
    <t>chunked_total_cleaned_volume_chunkedV2.py</t>
  </si>
  <si>
    <t>generate_busiest_site_chunkedV3.py</t>
  </si>
  <si>
    <t>chunked_total_cleaned_volume_monthly.csv</t>
  </si>
  <si>
    <t>Each script takes approx 15 minutes per month</t>
  </si>
  <si>
    <t>148 months in total</t>
  </si>
  <si>
    <t>2220 minutes per script</t>
  </si>
  <si>
    <t>37 hours per script of CPU Wall time</t>
  </si>
  <si>
    <t>generate_busiest_time_bin_chunkedV3.py</t>
  </si>
  <si>
    <t>Wrapper Script</t>
  </si>
  <si>
    <t>run_total_cleaned_volume_until_done.ps1</t>
  </si>
  <si>
    <t>run_busiest_site_until_done_v2.ps1</t>
  </si>
  <si>
    <t>run_busiest_time_bin_until_done_v3.ps1</t>
  </si>
  <si>
    <t>chunked_busiest_time_bin_monthly.csv</t>
  </si>
  <si>
    <t>Expected completion date</t>
  </si>
  <si>
    <t>generate_peak_shares_chunkedV3.py</t>
  </si>
  <si>
    <t>merge_headline_metricsV3.py</t>
  </si>
  <si>
    <t>generate_monthly_totals_chunkedV3.py</t>
  </si>
  <si>
    <t>generate_daily_totals_chunkedV3.py</t>
  </si>
  <si>
    <t>generate_site_totals_chunkedV3.py</t>
  </si>
  <si>
    <t>generate_time_bin_profile_chunkedV3.py</t>
  </si>
  <si>
    <t>generate_site_month_totals_chunkedV3.py</t>
  </si>
  <si>
    <t>generate_weekday_weekend_split_chunkedV3.py</t>
  </si>
  <si>
    <t>generate_month_of_year_profile_chunkedV3.py</t>
  </si>
  <si>
    <t>generate_day_of_week_profile_chunkedV3.py</t>
  </si>
  <si>
    <t>generate_yearly_totals_chunkedV3.py</t>
  </si>
  <si>
    <t>Total Number of Scripts (Chunked)</t>
  </si>
  <si>
    <t>Scripts completed so far (Chunked)</t>
  </si>
  <si>
    <t>407 hours total CPU wall time</t>
  </si>
  <si>
    <t>Approx 17 days total to generate every CSV file</t>
  </si>
  <si>
    <t>Total days from 23rd April</t>
  </si>
  <si>
    <t>13th May 2026</t>
  </si>
  <si>
    <t>20 days</t>
  </si>
  <si>
    <t>Note: the output JSON files have the total_elapsed_seconds</t>
  </si>
  <si>
    <t>which is the total time the chunked query took to run</t>
  </si>
  <si>
    <t>and it also has the generated_at_epoch which is the end time of the scrpt</t>
  </si>
  <si>
    <t>so you can work backwards to determine exact script start time</t>
  </si>
  <si>
    <t>Est fin</t>
  </si>
  <si>
    <t>run_peak_shares_until_done_v3.ps1</t>
  </si>
  <si>
    <t>chunked_peak_shares_monthly.csv</t>
  </si>
  <si>
    <t>generate_busiest_day_chunkedV3.py</t>
  </si>
  <si>
    <t>run_busiest_day_until_done_v3.ps1</t>
  </si>
  <si>
    <t>chunked_busiest_day_monthly.csv</t>
  </si>
  <si>
    <t>Stage 1:</t>
  </si>
  <si>
    <t>Stage 2:</t>
  </si>
  <si>
    <t>G1</t>
  </si>
  <si>
    <t>G2</t>
  </si>
  <si>
    <t>G3</t>
  </si>
  <si>
    <t>G4</t>
  </si>
  <si>
    <t>G5</t>
  </si>
  <si>
    <t>G6</t>
  </si>
  <si>
    <t>G7</t>
  </si>
  <si>
    <t>G8</t>
  </si>
  <si>
    <t>G = remember to make graphs about these</t>
  </si>
  <si>
    <t>Hero / Overview</t>
  </si>
  <si>
    <t>Key Metrics Summary</t>
  </si>
  <si>
    <t>Quick Access Maps / Navigation</t>
  </si>
  <si>
    <t>Table of Contents</t>
  </si>
  <si>
    <t>Top 10 Network Findings — What Melbourne Actually Does</t>
  </si>
  <si>
    <t>Top 10 Congestion Findings — Where and When Pressure Builds</t>
  </si>
  <si>
    <t>Top 10 Strategic Infrastructure Insights — What Matters Long-Term</t>
  </si>
  <si>
    <t>System Architecture</t>
  </si>
  <si>
    <t>Project Timeline</t>
  </si>
  <si>
    <t>Data Sources and Coverage</t>
  </si>
  <si>
    <t>SCATS Site Directory</t>
  </si>
  <si>
    <t>All SCATS Sites Interactive Map</t>
  </si>
  <si>
    <t>Top 100 SCATS Sites Interactive Map</t>
  </si>
  <si>
    <t>Integrated Top 100 Parcel Opportunity Map (OOH Intelligence)</t>
  </si>
  <si>
    <t>OOH Parcel Intelligence &amp; Billboard Opportunity Discovery</t>
  </si>
  <si>
    <t>Corridor Dominance Analysis</t>
  </si>
  <si>
    <t>OOH Site Discovery Engine</t>
  </si>
  <si>
    <t>Charts and Visualisations</t>
  </si>
  <si>
    <t>Daily Traffic Totals</t>
  </si>
  <si>
    <t>Monthly Traffic Totals</t>
  </si>
  <si>
    <t>Time-of-Day Traffic Profile</t>
  </si>
  <si>
    <t>Busiest Intersections Analysis</t>
  </si>
  <si>
    <t>Day-of-Week Patterns</t>
  </si>
  <si>
    <t>Public Dashboard Insights</t>
  </si>
  <si>
    <t>Department of Transport &amp; Institutional Observations</t>
  </si>
  <si>
    <t>Freight and Transport Company Intelligence</t>
  </si>
  <si>
    <t>Academic and Research Opportunities</t>
  </si>
  <si>
    <t>Data Downloads and Resources</t>
  </si>
  <si>
    <t>Question-to-Answer Traffic Intelligence Index</t>
  </si>
  <si>
    <t>Media / Story Engine Section</t>
  </si>
  <si>
    <t>On-Site Compute Infrastructure</t>
  </si>
  <si>
    <t>Technology Stack</t>
  </si>
  <si>
    <t>Project Supporters / Sponsors</t>
  </si>
  <si>
    <t>Contact / Attribution / Footer</t>
  </si>
  <si>
    <t>Page Section</t>
  </si>
  <si>
    <t>Status</t>
  </si>
  <si>
    <t>Last scripts to run:</t>
  </si>
  <si>
    <t>run_generate_kepler_city_pulse_dayV1.ps1</t>
  </si>
  <si>
    <t>animations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</si>
</sst>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1" xfId="0" applyBorder="1"/>
    <xf numFmtId="0" fontId="1" fillId="2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1" fillId="0" borderId="1" xfId="0" applyFont="1" applyBorder="1"/>
    <xf numFmtId="0" fontId="1" fillId="5" borderId="1" xfId="0" applyFont="1" applyFill="1" applyBorder="1"/>
    <xf numFmtId="0" fontId="0" fillId="5" borderId="1" xfId="0" applyFill="1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36739</xdr:colOff>
      <xdr:row>0</xdr:row>
      <xdr:rowOff>0</xdr:rowOff>
    </xdr:from>
    <xdr:to>
      <xdr:col>2</xdr:col>
      <xdr:colOff>3203048</xdr:colOff>
      <xdr:row>55</xdr:row>
      <xdr:rowOff>86566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8A023-03D5-DEE6-F30D-9C700017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9" y="0"/>
          <a:ext cx="5905427" cy="10041582"/>
        </a:xfrm>
        <a:prstGeom prst="rect">
          <a:avLst/>
        </a:prstGeom>
      </xdr:spPr>
    </xdr:pic>
    <xdr:clientData/>
  </xdr:twoCellAnchor>
  <xdr:twoCellAnchor>
    <xdr:from>
      <xdr:col>12</xdr:col>
      <xdr:colOff>334736</xdr:colOff>
      <xdr:row>7</xdr:row>
      <xdr:rowOff>1</xdr:rowOff>
    </xdr:from>
    <xdr:to>
      <xdr:col>26</xdr:col>
      <xdr:colOff>153761</xdr:colOff>
      <xdr:row>29</xdr:row>
      <xdr:rowOff>103416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EE6D967-160B-544A-3F31-AD4F84E0F084}"/>
            </a:ext>
          </a:extLst>
        </xdr:cNvPr>
        <xdr:cNvSpPr txBox="1"/>
      </xdr:nvSpPr>
      <xdr:spPr>
        <a:xfrm>
          <a:off x="22223186" y="1266826"/>
          <a:ext cx="9020175" cy="4084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/>
            <a:t>https://chatgpt.com/c/69f19a3c-85c4-839d-9810-7611c413774f</a:t>
          </a:r>
        </a:p>
        <a:p>
          <a:endParaRPr lang="en-AU" sz="1100" b="1"/>
        </a:p>
        <a:p>
          <a:r>
            <a:rPr lang="en-AU" sz="1100"/>
            <a:t>I have a chunked V2 script that needs to be upgraded to V3.Important known issue:In the monthly totals script, the month 2018-12 returned NULL / blank as N/A, so it was never counted as complete and the wrapper kept retrying month 60 forever. Make sure this script does NOT repeat that bug.Please update this script to V3 with these requirements:- Detect already-completed months from the CSV- Resume cleanly when the CSV already exists- Handle missing CSV rows without restarting from month 1- Treat NULL aggregate results safely, usually as 0 where appropriate- Never append blank totals that prevent completion detection- Prevent infinite wrapper loops if months_completed does not increase- Final JSON must include:  - months_total  - months_completed  - is_complete  - total_elapsed_seconds- Wrapper must run one month per execution- Wrapper must stop safely if no progress is detected- Temp directory handling must match V3 standards:  - C:\DuckDBTemp  - preserve_insertion_order=false  - sensible memory/thread settings- Maintain identical output structure and filenames unless changes are requiredAlso generate:1. Upgraded Python script:   generate_&lt;metric_name&gt;_chunkedV3.py2. Wrapper script:   run_&lt;metric_name&gt;_until_done_v3.ps1Here is the V2 script:[paste script here]</a:t>
          </a:r>
        </a:p>
      </xdr:txBody>
    </xdr:sp>
    <xdr:clientData/>
  </xdr:twoCellAnchor>
  <xdr:twoCellAnchor editAs="oneCell">
    <xdr:from>
      <xdr:col>4</xdr:col>
      <xdr:colOff>552449</xdr:colOff>
      <xdr:row>82</xdr:row>
      <xdr:rowOff>65029</xdr:rowOff>
    </xdr:from>
    <xdr:to>
      <xdr:col>8</xdr:col>
      <xdr:colOff>1412420</xdr:colOff>
      <xdr:row>99</xdr:row>
      <xdr:rowOff>92529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3DE7F2-686D-A5AD-BD19-CCEAC89FA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53399" y="15990829"/>
          <a:ext cx="7165521" cy="3106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0C3A-A093-4F1D-8F90-E36C4E2AC72E}">
  <dimension ref="C1:L95"/>
  <sheetViews>
    <sheetView tabSelected="1" topLeftCell="E1" workbookViewId="0">
      <selection activeCell="I4" sqref="I4"/>
    </sheetView>
  </sheetViews>
  <sheetFormatPr defaultRowHeight="14.6" x14ac:dyDescent="0.4"/>
  <cols>
    <col min="1" max="1" width="12.765625" bestFit="1" customWidth="1"/>
    <col min="2" max="2" width="25.921875" customWidth="1"/>
    <col min="3" max="3" width="58.23046875" customWidth="1"/>
    <col min="4" max="4" width="10.3046875" bestFit="1" customWidth="1"/>
    <col min="6" max="6" width="45.69140625" customWidth="1"/>
    <col min="7" max="7" width="13.3828125" customWidth="1"/>
    <col min="8" max="8" width="20.84375" bestFit="1" customWidth="1"/>
    <col min="9" max="9" width="39.765625" bestFit="1" customWidth="1"/>
    <col min="10" max="10" width="52.15234375" bestFit="1" customWidth="1"/>
    <col min="12" max="12" width="40.3046875" customWidth="1"/>
  </cols>
  <sheetData>
    <row r="1" spans="6:12" x14ac:dyDescent="0.4">
      <c r="F1" s="1" t="s">
        <v>36</v>
      </c>
      <c r="G1">
        <v>15</v>
      </c>
      <c r="I1" s="1" t="s">
        <v>1</v>
      </c>
      <c r="J1" t="s">
        <v>2</v>
      </c>
    </row>
    <row r="3" spans="6:12" x14ac:dyDescent="0.4">
      <c r="F3" s="1" t="s">
        <v>37</v>
      </c>
      <c r="G3">
        <v>15</v>
      </c>
      <c r="I3" s="1" t="s">
        <v>3</v>
      </c>
      <c r="J3" s="4" t="s">
        <v>4</v>
      </c>
    </row>
    <row r="5" spans="6:12" x14ac:dyDescent="0.4">
      <c r="F5" s="1" t="s">
        <v>0</v>
      </c>
      <c r="G5" s="2">
        <f>G3/G1</f>
        <v>1</v>
      </c>
    </row>
    <row r="7" spans="6:12" x14ac:dyDescent="0.4">
      <c r="F7" s="7" t="s">
        <v>5</v>
      </c>
      <c r="G7" s="7" t="s">
        <v>6</v>
      </c>
      <c r="H7" s="7" t="s">
        <v>47</v>
      </c>
      <c r="I7" s="7" t="s">
        <v>8</v>
      </c>
      <c r="J7" s="7" t="s">
        <v>6</v>
      </c>
      <c r="K7" s="8"/>
      <c r="L7" s="7" t="s">
        <v>19</v>
      </c>
    </row>
    <row r="8" spans="6:12" x14ac:dyDescent="0.4">
      <c r="F8" s="10"/>
      <c r="G8" s="10"/>
      <c r="H8" s="10"/>
      <c r="I8" s="10"/>
      <c r="J8" s="10"/>
      <c r="K8" s="5"/>
      <c r="L8" s="10"/>
    </row>
    <row r="9" spans="6:12" x14ac:dyDescent="0.4">
      <c r="F9" s="11" t="s">
        <v>53</v>
      </c>
      <c r="G9" s="12"/>
      <c r="H9" s="12"/>
      <c r="I9" s="12"/>
      <c r="J9" s="12"/>
      <c r="K9" s="12"/>
      <c r="L9" s="12"/>
    </row>
    <row r="10" spans="6:12" x14ac:dyDescent="0.4">
      <c r="F10" s="5" t="s">
        <v>11</v>
      </c>
      <c r="G10" s="6" t="s">
        <v>7</v>
      </c>
      <c r="H10" s="5"/>
      <c r="I10" s="9" t="s">
        <v>13</v>
      </c>
      <c r="J10" s="6" t="s">
        <v>10</v>
      </c>
      <c r="K10" s="5"/>
      <c r="L10" s="9" t="s">
        <v>20</v>
      </c>
    </row>
    <row r="11" spans="6:12" x14ac:dyDescent="0.4">
      <c r="F11" s="5" t="s">
        <v>12</v>
      </c>
      <c r="G11" s="6" t="s">
        <v>7</v>
      </c>
      <c r="H11" s="5"/>
      <c r="I11" s="9" t="s">
        <v>9</v>
      </c>
      <c r="J11" s="6" t="s">
        <v>10</v>
      </c>
      <c r="K11" s="5"/>
      <c r="L11" s="9" t="s">
        <v>21</v>
      </c>
    </row>
    <row r="12" spans="6:12" x14ac:dyDescent="0.4">
      <c r="F12" s="5" t="s">
        <v>18</v>
      </c>
      <c r="G12" s="6" t="s">
        <v>7</v>
      </c>
      <c r="H12" s="5"/>
      <c r="I12" s="9" t="s">
        <v>23</v>
      </c>
      <c r="J12" s="6" t="s">
        <v>10</v>
      </c>
      <c r="K12" s="5"/>
      <c r="L12" s="9" t="s">
        <v>22</v>
      </c>
    </row>
    <row r="13" spans="6:12" x14ac:dyDescent="0.4">
      <c r="F13" s="5" t="s">
        <v>25</v>
      </c>
      <c r="G13" s="6" t="s">
        <v>7</v>
      </c>
      <c r="H13" s="5"/>
      <c r="I13" s="9" t="s">
        <v>49</v>
      </c>
      <c r="J13" s="6" t="s">
        <v>10</v>
      </c>
      <c r="K13" s="5"/>
      <c r="L13" s="9" t="s">
        <v>48</v>
      </c>
    </row>
    <row r="14" spans="6:12" x14ac:dyDescent="0.4">
      <c r="F14" s="5" t="s">
        <v>50</v>
      </c>
      <c r="G14" s="6" t="s">
        <v>7</v>
      </c>
      <c r="H14" s="5"/>
      <c r="I14" s="9" t="s">
        <v>52</v>
      </c>
      <c r="J14" s="6" t="s">
        <v>10</v>
      </c>
      <c r="K14" s="5"/>
      <c r="L14" s="9" t="s">
        <v>51</v>
      </c>
    </row>
    <row r="15" spans="6:12" x14ac:dyDescent="0.4">
      <c r="F15" s="5" t="s">
        <v>26</v>
      </c>
      <c r="G15" s="6" t="s">
        <v>7</v>
      </c>
      <c r="H15" s="5"/>
      <c r="I15" s="5"/>
      <c r="J15" s="6" t="s">
        <v>10</v>
      </c>
      <c r="K15" s="5"/>
      <c r="L15" s="5"/>
    </row>
    <row r="16" spans="6:12" x14ac:dyDescent="0.4">
      <c r="F16" s="5"/>
      <c r="G16" s="5"/>
      <c r="H16" s="5"/>
      <c r="I16" s="5"/>
      <c r="J16" s="5"/>
      <c r="K16" s="5"/>
      <c r="L16" s="5"/>
    </row>
    <row r="17" spans="5:12" x14ac:dyDescent="0.4">
      <c r="F17" s="6" t="s">
        <v>54</v>
      </c>
      <c r="G17" s="13"/>
      <c r="H17" s="13"/>
      <c r="I17" s="13"/>
      <c r="J17" s="13"/>
      <c r="K17" s="13"/>
      <c r="L17" s="13"/>
    </row>
    <row r="18" spans="5:12" x14ac:dyDescent="0.4">
      <c r="F18" s="5" t="s">
        <v>27</v>
      </c>
      <c r="G18" s="6" t="s">
        <v>7</v>
      </c>
      <c r="H18" s="5"/>
      <c r="I18" s="5"/>
      <c r="J18" s="6" t="s">
        <v>10</v>
      </c>
      <c r="K18" s="5"/>
      <c r="L18" s="5"/>
    </row>
    <row r="19" spans="5:12" x14ac:dyDescent="0.4">
      <c r="E19" t="s">
        <v>55</v>
      </c>
      <c r="F19" s="5" t="s">
        <v>28</v>
      </c>
      <c r="G19" s="6" t="s">
        <v>7</v>
      </c>
      <c r="H19" s="5"/>
      <c r="I19" s="5"/>
      <c r="J19" s="6" t="s">
        <v>10</v>
      </c>
      <c r="K19" s="5"/>
      <c r="L19" s="5"/>
    </row>
    <row r="20" spans="5:12" x14ac:dyDescent="0.4">
      <c r="E20" t="s">
        <v>56</v>
      </c>
      <c r="F20" s="5" t="s">
        <v>29</v>
      </c>
      <c r="G20" s="6" t="s">
        <v>7</v>
      </c>
      <c r="H20" s="5"/>
      <c r="I20" s="5"/>
      <c r="J20" s="6" t="s">
        <v>10</v>
      </c>
      <c r="K20" s="5"/>
      <c r="L20" s="5"/>
    </row>
    <row r="21" spans="5:12" x14ac:dyDescent="0.4">
      <c r="E21" t="s">
        <v>57</v>
      </c>
      <c r="F21" s="5" t="s">
        <v>30</v>
      </c>
      <c r="G21" s="6" t="s">
        <v>7</v>
      </c>
      <c r="H21" s="5"/>
      <c r="I21" s="5"/>
      <c r="J21" s="6" t="s">
        <v>10</v>
      </c>
      <c r="K21" s="5"/>
      <c r="L21" s="5"/>
    </row>
    <row r="22" spans="5:12" x14ac:dyDescent="0.4">
      <c r="E22" t="s">
        <v>58</v>
      </c>
      <c r="F22" s="5" t="s">
        <v>31</v>
      </c>
      <c r="G22" s="6" t="s">
        <v>7</v>
      </c>
      <c r="H22" s="5"/>
      <c r="I22" s="5"/>
      <c r="J22" s="6" t="s">
        <v>10</v>
      </c>
      <c r="K22" s="5"/>
      <c r="L22" s="5"/>
    </row>
    <row r="23" spans="5:12" x14ac:dyDescent="0.4">
      <c r="E23" t="s">
        <v>59</v>
      </c>
      <c r="F23" s="5" t="s">
        <v>32</v>
      </c>
      <c r="G23" s="6" t="s">
        <v>7</v>
      </c>
      <c r="H23" s="5"/>
      <c r="I23" s="5"/>
      <c r="J23" s="6" t="s">
        <v>10</v>
      </c>
      <c r="K23" s="5"/>
      <c r="L23" s="5"/>
    </row>
    <row r="24" spans="5:12" x14ac:dyDescent="0.4">
      <c r="E24" t="s">
        <v>60</v>
      </c>
      <c r="F24" s="5" t="s">
        <v>33</v>
      </c>
      <c r="G24" s="6" t="s">
        <v>7</v>
      </c>
      <c r="H24" s="5"/>
      <c r="I24" s="5"/>
      <c r="J24" s="6" t="s">
        <v>10</v>
      </c>
      <c r="K24" s="5"/>
      <c r="L24" s="5"/>
    </row>
    <row r="25" spans="5:12" x14ac:dyDescent="0.4">
      <c r="E25" t="s">
        <v>61</v>
      </c>
      <c r="F25" s="5" t="s">
        <v>34</v>
      </c>
      <c r="G25" s="6" t="s">
        <v>7</v>
      </c>
      <c r="H25" s="5"/>
      <c r="I25" s="5"/>
      <c r="J25" s="6" t="s">
        <v>10</v>
      </c>
      <c r="K25" s="5"/>
      <c r="L25" s="5"/>
    </row>
    <row r="26" spans="5:12" x14ac:dyDescent="0.4">
      <c r="E26" t="s">
        <v>62</v>
      </c>
      <c r="F26" s="5" t="s">
        <v>35</v>
      </c>
      <c r="G26" s="6" t="s">
        <v>7</v>
      </c>
      <c r="H26" s="5"/>
      <c r="I26" s="5"/>
      <c r="J26" s="6" t="s">
        <v>10</v>
      </c>
      <c r="K26" s="5"/>
      <c r="L26" s="5"/>
    </row>
    <row r="27" spans="5:12" x14ac:dyDescent="0.4">
      <c r="F27" s="5" t="s">
        <v>101</v>
      </c>
      <c r="G27" s="6" t="s">
        <v>7</v>
      </c>
      <c r="H27" s="5"/>
      <c r="I27" s="5"/>
      <c r="J27" s="6" t="s">
        <v>10</v>
      </c>
      <c r="K27" s="5"/>
      <c r="L27" s="5"/>
    </row>
    <row r="28" spans="5:12" x14ac:dyDescent="0.4">
      <c r="E28" t="s">
        <v>63</v>
      </c>
      <c r="F28" s="5"/>
      <c r="G28" s="6" t="s">
        <v>7</v>
      </c>
      <c r="H28" s="5"/>
      <c r="I28" s="5"/>
      <c r="J28" s="6" t="s">
        <v>10</v>
      </c>
      <c r="K28" s="5"/>
      <c r="L28" s="5"/>
    </row>
    <row r="29" spans="5:12" x14ac:dyDescent="0.4">
      <c r="F29" s="5" t="s">
        <v>102</v>
      </c>
      <c r="G29" s="6" t="s">
        <v>7</v>
      </c>
      <c r="H29" s="5"/>
      <c r="I29" s="5"/>
      <c r="J29" s="6" t="s">
        <v>10</v>
      </c>
      <c r="K29" s="5"/>
      <c r="L29" s="5"/>
    </row>
    <row r="32" spans="5:12" x14ac:dyDescent="0.4">
      <c r="F32" t="s">
        <v>14</v>
      </c>
    </row>
    <row r="33" spans="6:7" x14ac:dyDescent="0.4">
      <c r="F33" t="s">
        <v>15</v>
      </c>
    </row>
    <row r="34" spans="6:7" x14ac:dyDescent="0.4">
      <c r="F34" t="s">
        <v>16</v>
      </c>
    </row>
    <row r="35" spans="6:7" x14ac:dyDescent="0.4">
      <c r="F35" t="s">
        <v>17</v>
      </c>
    </row>
    <row r="37" spans="6:7" x14ac:dyDescent="0.4">
      <c r="F37" t="s">
        <v>38</v>
      </c>
    </row>
    <row r="38" spans="6:7" x14ac:dyDescent="0.4">
      <c r="F38" t="s">
        <v>39</v>
      </c>
    </row>
    <row r="40" spans="6:7" x14ac:dyDescent="0.4">
      <c r="F40" t="s">
        <v>24</v>
      </c>
      <c r="G40" s="3" t="s">
        <v>41</v>
      </c>
    </row>
    <row r="42" spans="6:7" x14ac:dyDescent="0.4">
      <c r="F42" t="s">
        <v>40</v>
      </c>
      <c r="G42" s="1" t="s">
        <v>42</v>
      </c>
    </row>
    <row r="44" spans="6:7" x14ac:dyDescent="0.4">
      <c r="F44" t="s">
        <v>43</v>
      </c>
    </row>
    <row r="45" spans="6:7" x14ac:dyDescent="0.4">
      <c r="F45" t="s">
        <v>44</v>
      </c>
    </row>
    <row r="47" spans="6:7" x14ac:dyDescent="0.4">
      <c r="F47" t="s">
        <v>45</v>
      </c>
    </row>
    <row r="49" spans="3:6" x14ac:dyDescent="0.4">
      <c r="F49" t="s">
        <v>46</v>
      </c>
    </row>
    <row r="51" spans="3:6" x14ac:dyDescent="0.4">
      <c r="C51" s="14" t="s">
        <v>98</v>
      </c>
      <c r="D51" s="14" t="s">
        <v>99</v>
      </c>
    </row>
    <row r="52" spans="3:6" x14ac:dyDescent="0.4">
      <c r="C52" s="5"/>
      <c r="D52" s="5"/>
    </row>
    <row r="53" spans="3:6" x14ac:dyDescent="0.4">
      <c r="C53" s="5" t="s">
        <v>64</v>
      </c>
      <c r="D53" s="5"/>
    </row>
    <row r="54" spans="3:6" x14ac:dyDescent="0.4">
      <c r="C54" s="5" t="s">
        <v>65</v>
      </c>
      <c r="D54" s="5"/>
    </row>
    <row r="55" spans="3:6" x14ac:dyDescent="0.4">
      <c r="C55" s="5" t="s">
        <v>66</v>
      </c>
      <c r="D55" s="5"/>
    </row>
    <row r="56" spans="3:6" x14ac:dyDescent="0.4">
      <c r="C56" s="5" t="s">
        <v>67</v>
      </c>
      <c r="D56" s="5"/>
    </row>
    <row r="57" spans="3:6" x14ac:dyDescent="0.4">
      <c r="C57" s="5"/>
      <c r="D57" s="5"/>
    </row>
    <row r="58" spans="3:6" x14ac:dyDescent="0.4">
      <c r="C58" s="5" t="s">
        <v>68</v>
      </c>
      <c r="D58" s="5"/>
    </row>
    <row r="59" spans="3:6" x14ac:dyDescent="0.4">
      <c r="C59" s="5" t="s">
        <v>69</v>
      </c>
      <c r="D59" s="5"/>
    </row>
    <row r="60" spans="3:6" x14ac:dyDescent="0.4">
      <c r="C60" s="5" t="s">
        <v>70</v>
      </c>
      <c r="D60" s="5"/>
    </row>
    <row r="61" spans="3:6" x14ac:dyDescent="0.4">
      <c r="C61" s="5"/>
      <c r="D61" s="5"/>
    </row>
    <row r="62" spans="3:6" x14ac:dyDescent="0.4">
      <c r="C62" s="5" t="s">
        <v>71</v>
      </c>
      <c r="D62" s="5"/>
    </row>
    <row r="63" spans="3:6" x14ac:dyDescent="0.4">
      <c r="C63" s="5" t="s">
        <v>72</v>
      </c>
      <c r="D63" s="5"/>
    </row>
    <row r="64" spans="3:6" x14ac:dyDescent="0.4">
      <c r="C64" s="5" t="s">
        <v>73</v>
      </c>
      <c r="D64" s="5"/>
    </row>
    <row r="65" spans="3:6" x14ac:dyDescent="0.4">
      <c r="C65" s="5"/>
      <c r="D65" s="5"/>
    </row>
    <row r="66" spans="3:6" x14ac:dyDescent="0.4">
      <c r="C66" s="5" t="s">
        <v>74</v>
      </c>
      <c r="D66" s="5"/>
    </row>
    <row r="67" spans="3:6" x14ac:dyDescent="0.4">
      <c r="C67" s="5" t="s">
        <v>75</v>
      </c>
      <c r="D67" s="5"/>
    </row>
    <row r="68" spans="3:6" x14ac:dyDescent="0.4">
      <c r="C68" s="5" t="s">
        <v>76</v>
      </c>
      <c r="D68" s="5"/>
    </row>
    <row r="69" spans="3:6" x14ac:dyDescent="0.4">
      <c r="C69" s="5"/>
      <c r="D69" s="5"/>
    </row>
    <row r="70" spans="3:6" x14ac:dyDescent="0.4">
      <c r="C70" s="5" t="s">
        <v>77</v>
      </c>
      <c r="D70" s="5"/>
    </row>
    <row r="71" spans="3:6" x14ac:dyDescent="0.4">
      <c r="C71" s="5" t="s">
        <v>78</v>
      </c>
      <c r="D71" s="5"/>
    </row>
    <row r="72" spans="3:6" x14ac:dyDescent="0.4">
      <c r="C72" s="5" t="s">
        <v>79</v>
      </c>
      <c r="D72" s="5"/>
    </row>
    <row r="73" spans="3:6" x14ac:dyDescent="0.4">
      <c r="C73" s="5" t="s">
        <v>80</v>
      </c>
      <c r="D73" s="5"/>
      <c r="F73" s="1" t="s">
        <v>100</v>
      </c>
    </row>
    <row r="74" spans="3:6" x14ac:dyDescent="0.4">
      <c r="C74" s="5"/>
      <c r="D74" s="5"/>
    </row>
    <row r="75" spans="3:6" x14ac:dyDescent="0.4">
      <c r="C75" s="5" t="s">
        <v>81</v>
      </c>
      <c r="D75" s="5"/>
    </row>
    <row r="76" spans="3:6" x14ac:dyDescent="0.4">
      <c r="C76" s="5" t="s">
        <v>82</v>
      </c>
      <c r="D76" s="5"/>
    </row>
    <row r="77" spans="3:6" x14ac:dyDescent="0.4">
      <c r="C77" s="5" t="s">
        <v>83</v>
      </c>
      <c r="D77" s="5"/>
    </row>
    <row r="78" spans="3:6" x14ac:dyDescent="0.4">
      <c r="C78" s="5" t="s">
        <v>84</v>
      </c>
      <c r="D78" s="5"/>
    </row>
    <row r="79" spans="3:6" x14ac:dyDescent="0.4">
      <c r="C79" s="5" t="s">
        <v>85</v>
      </c>
      <c r="D79" s="5"/>
    </row>
    <row r="80" spans="3:6" x14ac:dyDescent="0.4">
      <c r="C80" s="5" t="s">
        <v>86</v>
      </c>
      <c r="D80" s="5"/>
    </row>
    <row r="81" spans="3:4" x14ac:dyDescent="0.4">
      <c r="C81" s="5"/>
      <c r="D81" s="5"/>
    </row>
    <row r="82" spans="3:4" x14ac:dyDescent="0.4">
      <c r="C82" s="5" t="s">
        <v>87</v>
      </c>
      <c r="D82" s="5"/>
    </row>
    <row r="83" spans="3:4" x14ac:dyDescent="0.4">
      <c r="C83" s="5" t="s">
        <v>88</v>
      </c>
      <c r="D83" s="5"/>
    </row>
    <row r="84" spans="3:4" x14ac:dyDescent="0.4">
      <c r="C84" s="5" t="s">
        <v>89</v>
      </c>
      <c r="D84" s="5"/>
    </row>
    <row r="85" spans="3:4" x14ac:dyDescent="0.4">
      <c r="C85" s="5" t="s">
        <v>90</v>
      </c>
      <c r="D85" s="5"/>
    </row>
    <row r="86" spans="3:4" x14ac:dyDescent="0.4">
      <c r="C86" s="5"/>
      <c r="D86" s="5"/>
    </row>
    <row r="87" spans="3:4" x14ac:dyDescent="0.4">
      <c r="C87" s="5" t="s">
        <v>91</v>
      </c>
      <c r="D87" s="5"/>
    </row>
    <row r="88" spans="3:4" x14ac:dyDescent="0.4">
      <c r="C88" s="5" t="s">
        <v>92</v>
      </c>
      <c r="D88" s="5"/>
    </row>
    <row r="89" spans="3:4" x14ac:dyDescent="0.4">
      <c r="C89" s="5" t="s">
        <v>93</v>
      </c>
      <c r="D89" s="5"/>
    </row>
    <row r="90" spans="3:4" x14ac:dyDescent="0.4">
      <c r="C90" s="5"/>
      <c r="D90" s="5"/>
    </row>
    <row r="91" spans="3:4" x14ac:dyDescent="0.4">
      <c r="C91" s="5" t="s">
        <v>94</v>
      </c>
      <c r="D91" s="5"/>
    </row>
    <row r="92" spans="3:4" x14ac:dyDescent="0.4">
      <c r="C92" s="5" t="s">
        <v>95</v>
      </c>
      <c r="D92" s="5"/>
    </row>
    <row r="93" spans="3:4" x14ac:dyDescent="0.4">
      <c r="C93" s="5"/>
      <c r="D93" s="5"/>
    </row>
    <row r="94" spans="3:4" x14ac:dyDescent="0.4">
      <c r="C94" s="5" t="s">
        <v>96</v>
      </c>
      <c r="D94" s="5"/>
    </row>
    <row r="95" spans="3:4" x14ac:dyDescent="0.4">
      <c r="C95" s="5" t="s">
        <v>97</v>
      </c>
      <c r="D9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Clarke Towson</dc:creator>
  <cp:lastModifiedBy>Clarke Towson</cp:lastModifiedBy>
  <dcterms:created xsi:type="dcterms:W3CDTF">2026-04-13T03:05:25Z</dcterms:created>
  <dcterms:modified xsi:type="dcterms:W3CDTF">2026-05-14T05:19:58Z</dcterms:modified>
</cp:coreProperties>
</file>